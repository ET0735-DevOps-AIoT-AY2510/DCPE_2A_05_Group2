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700C158-9F51-4CEF-842E-C4A18E71CCC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all Test Report" sheetId="2" r:id="rId1"/>
    <sheet name="Test Cases &amp; Results" sheetId="1" r:id="rId2"/>
    <sheet name="Enum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B4" i="1"/>
  <c r="B5" i="1" s="1"/>
  <c r="B6" i="1" s="1"/>
  <c r="B7" i="1" s="1"/>
  <c r="C6" i="2" l="1"/>
  <c r="C5" i="2"/>
</calcChain>
</file>

<file path=xl/sharedStrings.xml><?xml version="1.0" encoding="utf-8"?>
<sst xmlns="http://schemas.openxmlformats.org/spreadsheetml/2006/main" count="136" uniqueCount="87">
  <si>
    <t>Total Test Cases</t>
  </si>
  <si>
    <t xml:space="preserve">Passed </t>
  </si>
  <si>
    <t>Failed</t>
  </si>
  <si>
    <t>Not Tested</t>
  </si>
  <si>
    <t>TestCase_ID</t>
  </si>
  <si>
    <t>Requirement_ID</t>
  </si>
  <si>
    <t>Priority</t>
  </si>
  <si>
    <t>Description/Test Summary</t>
  </si>
  <si>
    <t>Pre-Condition</t>
  </si>
  <si>
    <t>Test Steps</t>
  </si>
  <si>
    <t>Expected Result</t>
  </si>
  <si>
    <t>Actual Result</t>
  </si>
  <si>
    <t>Test Result</t>
  </si>
  <si>
    <t>Mid Impact</t>
  </si>
  <si>
    <t>Pass</t>
  </si>
  <si>
    <t>Fail</t>
  </si>
  <si>
    <t>High Impact</t>
  </si>
  <si>
    <t>Low Impact</t>
  </si>
  <si>
    <t>nil (pytest)</t>
  </si>
  <si>
    <t>key to go into admin queue</t>
  </si>
  <si>
    <t>key goes into admin queue</t>
  </si>
  <si>
    <t>Ensure that when system is in admin mode, pressing a key routes to admin queue not user queue.</t>
  </si>
  <si>
    <t>Ensure that when system is in user mode, pressing a key routes to user queue</t>
  </si>
  <si>
    <t>run "test_key_dispatch_enqueues_in_user(import_mainmenu, fresh_queue)" function</t>
  </si>
  <si>
    <t>run " test_key_dispatch_routes_to_admin" function</t>
  </si>
  <si>
    <t>Key go into user queue</t>
  </si>
  <si>
    <t>key goes into user queue</t>
  </si>
  <si>
    <t>Ensure that the selection of 'buy' or 'collection' and confirmation with #is working.</t>
  </si>
  <si>
    <t>run "def test_select_mode_buy(import_mainmenu, monkeypatch, lcd)" function</t>
  </si>
  <si>
    <t>selecting buy option goes to menu selection.</t>
  </si>
  <si>
    <t>buy option shows menu.</t>
  </si>
  <si>
    <t>Ensure that selection of 'collection'  is working and redirect to online dictionary.</t>
  </si>
  <si>
    <t>run "def test_select_mode_collect(import_mainmenu, monkeypatch, lcd)" function</t>
  </si>
  <si>
    <t>Selection of collection option will ensure stock count decreases when ordered even from online and ensure collection option goes through</t>
  </si>
  <si>
    <t>Collection option activates camera and can start scanning qr code, when drinks dispense stock goes down.</t>
  </si>
  <si>
    <t>Verifies that if a key input is detected during low power mode, it will go to high power mode.</t>
  </si>
  <si>
    <t>run "def test_get_key_input_bails_on_low_power(import_mainmenu)" function</t>
  </si>
  <si>
    <t>This ensures when a key is pressed, the machine will switch from low to high power mode.</t>
  </si>
  <si>
    <t>Backlight of lcd turn on when key pressed.</t>
  </si>
  <si>
    <t>REQ-46</t>
  </si>
  <si>
    <t>REQ-01</t>
  </si>
  <si>
    <t>REQ-51</t>
  </si>
  <si>
    <t>REQ-50</t>
  </si>
  <si>
    <t>REQ-20</t>
  </si>
  <si>
    <t>Automatic test for RPI (pytest)</t>
  </si>
  <si>
    <t>REQ‑01, REQ‑21</t>
  </si>
  <si>
    <t>Main menu auto‑shows when a person is near (HPM) and items rotate</t>
  </si>
  <si>
    <t>Ultrasound sensor active; LCD powered</t>
  </si>
  <si>
    <t>1) Simulate person within range. 2) Observe LCD for menu rotation every ~3s across listed items.</t>
  </si>
  <si>
    <t>RPi enters High Power Mode and shows menu items as specified, rotating pairs of rows.</t>
  </si>
  <si>
    <t>REQ‑31 (→ REQ‑15)</t>
  </si>
  <si>
    <t>“#” confirms order and proceeds to payment screen</t>
  </si>
  <si>
    <t>Item selected on LCD</t>
  </si>
  <si>
    <t>1) Press “#”.</t>
  </si>
  <si>
    <t>Order is confirmed and flow moves to payment prompt on LCD.</t>
  </si>
  <si>
    <t>REQ‑03, REQ‑24</t>
  </si>
  <si>
    <t>“0. Turn Off” shows shutdown message and enters LPM</t>
  </si>
  <si>
    <t>Main menu displayed</t>
  </si>
  <si>
    <t>1) Select “0”.</t>
  </si>
  <si>
    <t>LCD shows “Shutting down” ~1s, backlight turns off, device enters Low Power Mode.</t>
  </si>
  <si>
    <t>REQ‑04</t>
  </si>
  <si>
    <t>Successful payment triggers dispenser motor for 5s</t>
  </si>
  <si>
    <t>Payment flag = success; motor connected</t>
  </si>
  <si>
    <t>1) Set payment status to success. 2) Start dispense.</t>
  </si>
  <si>
    <t>DC motor runs ~5s to simulate dispensing.</t>
  </si>
  <si>
    <t>REQ‑15, REQ‑16, REQ‑17, REQ‑19</t>
  </si>
  <si>
    <t>Card (RFID) payment – success path</t>
  </si>
  <si>
    <t>Item chosen; RFID reader connected</t>
  </si>
  <si>
    <t>1) LCD shows “Pay by card/QR”. 2) Tap valid card.</t>
  </si>
  <si>
    <t>System checks payment; on success, LCD shows “Payment successful”.</t>
  </si>
  <si>
    <t>REQ‑18</t>
  </si>
  <si>
    <t>Payment failure shows retry prompt</t>
  </si>
  <si>
    <t>Item chosen; reader online</t>
  </si>
  <si>
    <t>1) Attempt payment with invalid card/QR.</t>
  </si>
  <si>
    <t>LCD shows “Payment unsuccessful” and prompts to retry.</t>
  </si>
  <si>
    <t>REQ‑22</t>
  </si>
  <si>
    <t>Auto‑enter Low Power Mode after 3 min inactivity</t>
  </si>
  <si>
    <t>No dispense activity</t>
  </si>
  <si>
    <t>1) Leave keypad idle for ≥3 min.</t>
  </si>
  <si>
    <t>Device transitions to LPM automatically.</t>
  </si>
  <si>
    <t>REQ‑32, REQ‑33, REQ‑34</t>
  </si>
  <si>
    <t>Shake detection rings buzzer and alerts technician</t>
  </si>
  <si>
    <t>Accelerometer + buzzer connected; alert channel configured</t>
  </si>
  <si>
    <t>1) Simulate violent shaking.</t>
  </si>
  <si>
    <t>Buzzer rings for ~5s; tech alert is sent; system keeps monitoring.</t>
  </si>
  <si>
    <t>Automated testing for Rpi (pytest)</t>
  </si>
  <si>
    <t>physical testin (Rpi)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</si>
</sst>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2" fillId="0" borderId="1" xfId="0" applyFont="1" applyFill="1" applyBorder="1" applyAlignment="1">
      <alignment horizontal="left" vertical="center" wrapText="1"/>
    </xf>
    <xf numFmtId="0" fontId="0" fillId="0" borderId="0" xfId="0"/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15-7D4E-8D76-89EEF6E3E1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15-7D4E-8D76-89EEF6E3E1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15-7D4E-8D76-89EEF6E3E121}"/>
              </c:ext>
            </c:extLst>
          </c:dPt>
          <c:cat>
            <c:strRef>
              <c:f>'Overall Test Report'!$B$4:$B$6</c:f>
              <c:strCache>
                <c:ptCount val="3"/>
                <c:pt idx="0">
                  <c:v>Passed 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'Overall Test Report'!$C$4:$C$6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5-3948-8FEF-E80B4437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65857392825895"/>
          <c:y val="0.8524300087489064"/>
          <c:w val="0.4554604111986002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820963</xdr:colOff>
      <xdr:row>8</xdr:row>
      <xdr:rowOff>84364</xdr:rowOff>
    </xdr:from>
    <xdr:to>
      <xdr:col>6</xdr:col>
      <xdr:colOff>181429</xdr:colOff>
      <xdr:row>23</xdr:row>
      <xdr:rowOff>99785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51DD0-30D4-0A41-BB24-6502CEBB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zoomScale="129" workbookViewId="0">
      <selection activeCell="D3" sqref="C3:D4"/>
    </sheetView>
  </sheetViews>
  <sheetFormatPr defaultColWidth="11.453125" defaultRowHeight="14.5" x14ac:dyDescent="0.35"/>
  <cols>
    <col min="2" max="2" width="15.26953125" bestFit="1" customWidth="1"/>
  </cols>
  <sheetData>
    <row r="3" spans="2:3" x14ac:dyDescent="0.35">
      <c r="B3" s="6" t="s">
        <v>0</v>
      </c>
      <c r="C3" s="10">
        <f>COUNTIF('Test Cases &amp; Results'!B3:B13, "&lt;&gt;")</f>
        <v>5</v>
      </c>
    </row>
    <row r="4" spans="2:3" x14ac:dyDescent="0.35">
      <c r="B4" s="7" t="s">
        <v>1</v>
      </c>
      <c r="C4" s="10">
        <f>COUNTIF('Test Cases &amp; Results'!K3:K57, "Pass")</f>
        <v>5</v>
      </c>
    </row>
    <row r="5" spans="2:3" x14ac:dyDescent="0.35">
      <c r="B5" s="8" t="s">
        <v>2</v>
      </c>
      <c r="C5" s="10">
        <f>COUNTIF('Test Cases &amp; Results'!K3:K57, "Fail")</f>
        <v>0</v>
      </c>
    </row>
    <row r="6" spans="2:3" x14ac:dyDescent="0.35">
      <c r="B6" s="9" t="s">
        <v>3</v>
      </c>
      <c r="C6" s="10">
        <f>COUNTIF('Test Cases &amp; Results'!K3:K57, "Not Tested")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0"/>
  <sheetViews>
    <sheetView tabSelected="1" topLeftCell="E1" zoomScale="70" zoomScaleNormal="70" workbookViewId="0">
      <selection activeCell="N1" sqref="N1"/>
    </sheetView>
  </sheetViews>
  <sheetFormatPr defaultColWidth="8.81640625" defaultRowHeight="14.5" x14ac:dyDescent="0.35"/>
  <cols>
    <col min="2" max="2" width="11.81640625" bestFit="1" customWidth="1"/>
    <col min="3" max="3" width="14" hidden="1" customWidth="1"/>
    <col min="4" max="4" width="15.7265625" bestFit="1" customWidth="1"/>
    <col min="5" max="5" width="12" customWidth="1"/>
    <col min="6" max="6" width="28.1796875" customWidth="1"/>
    <col min="7" max="7" width="21.7265625" customWidth="1"/>
    <col min="8" max="8" width="25.26953125" bestFit="1" customWidth="1"/>
    <col min="9" max="9" width="20.453125" customWidth="1"/>
    <col min="10" max="10" width="18.54296875" customWidth="1"/>
    <col min="11" max="11" width="12.54296875" style="13" customWidth="1"/>
  </cols>
  <sheetData>
    <row r="1" spans="2:22" x14ac:dyDescent="0.35">
      <c r="B1" s="23" t="s">
        <v>44</v>
      </c>
      <c r="E1" t="s">
        <v>85</v>
      </c>
      <c r="N1" t="s">
        <v>86</v>
      </c>
    </row>
    <row r="2" spans="2:22" x14ac:dyDescent="0.35">
      <c r="B2" s="1" t="s">
        <v>4</v>
      </c>
      <c r="C2" s="1" t="s">
        <v>5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1" t="s">
        <v>12</v>
      </c>
      <c r="M2" s="25"/>
      <c r="N2" s="26" t="s">
        <v>4</v>
      </c>
      <c r="O2" s="26" t="s">
        <v>5</v>
      </c>
      <c r="P2" s="26" t="s">
        <v>6</v>
      </c>
      <c r="Q2" s="26" t="s">
        <v>7</v>
      </c>
      <c r="R2" s="26" t="s">
        <v>8</v>
      </c>
      <c r="S2" s="26" t="s">
        <v>9</v>
      </c>
      <c r="T2" s="26" t="s">
        <v>10</v>
      </c>
      <c r="U2" s="26" t="s">
        <v>11</v>
      </c>
      <c r="V2" s="28" t="s">
        <v>12</v>
      </c>
    </row>
    <row r="3" spans="2:22" ht="57" customHeight="1" x14ac:dyDescent="0.35">
      <c r="B3" s="2">
        <v>1</v>
      </c>
      <c r="C3" s="2">
        <v>1</v>
      </c>
      <c r="D3" s="2" t="s">
        <v>39</v>
      </c>
      <c r="E3" s="3" t="s">
        <v>16</v>
      </c>
      <c r="F3" s="4" t="s">
        <v>21</v>
      </c>
      <c r="G3" s="4" t="s">
        <v>18</v>
      </c>
      <c r="H3" s="5" t="s">
        <v>24</v>
      </c>
      <c r="I3" s="15" t="s">
        <v>19</v>
      </c>
      <c r="J3" s="15" t="s">
        <v>20</v>
      </c>
      <c r="K3" s="12" t="s">
        <v>14</v>
      </c>
      <c r="M3" s="25"/>
      <c r="N3" s="27">
        <v>1</v>
      </c>
      <c r="O3" s="27" t="s">
        <v>45</v>
      </c>
      <c r="P3" s="27" t="s">
        <v>16</v>
      </c>
      <c r="Q3" s="30" t="s">
        <v>46</v>
      </c>
      <c r="R3" s="30" t="s">
        <v>47</v>
      </c>
      <c r="S3" s="30" t="s">
        <v>48</v>
      </c>
      <c r="T3" s="30" t="s">
        <v>49</v>
      </c>
      <c r="U3" s="30" t="s">
        <v>49</v>
      </c>
      <c r="V3" s="29" t="s">
        <v>14</v>
      </c>
    </row>
    <row r="4" spans="2:22" ht="92" x14ac:dyDescent="0.35">
      <c r="B4" s="2">
        <f>B3+1</f>
        <v>2</v>
      </c>
      <c r="C4" s="2"/>
      <c r="D4" s="2" t="s">
        <v>40</v>
      </c>
      <c r="E4" s="3" t="s">
        <v>16</v>
      </c>
      <c r="F4" s="4" t="s">
        <v>22</v>
      </c>
      <c r="G4" s="4" t="s">
        <v>18</v>
      </c>
      <c r="H4" s="5" t="s">
        <v>23</v>
      </c>
      <c r="I4" s="4" t="s">
        <v>25</v>
      </c>
      <c r="J4" s="4" t="s">
        <v>26</v>
      </c>
      <c r="K4" s="12" t="s">
        <v>14</v>
      </c>
      <c r="M4" s="25"/>
      <c r="N4" s="27">
        <v>2</v>
      </c>
      <c r="O4" s="30" t="s">
        <v>50</v>
      </c>
      <c r="P4" s="30" t="s">
        <v>13</v>
      </c>
      <c r="Q4" s="30" t="s">
        <v>51</v>
      </c>
      <c r="R4" s="30" t="s">
        <v>52</v>
      </c>
      <c r="S4" s="30" t="s">
        <v>53</v>
      </c>
      <c r="T4" s="30" t="s">
        <v>54</v>
      </c>
      <c r="U4" s="30" t="s">
        <v>54</v>
      </c>
      <c r="V4" s="29" t="s">
        <v>14</v>
      </c>
    </row>
    <row r="5" spans="2:22" ht="138" x14ac:dyDescent="0.35">
      <c r="B5" s="2">
        <f t="shared" ref="B5:B7" si="0">B4+1</f>
        <v>3</v>
      </c>
      <c r="C5" s="2"/>
      <c r="D5" t="s">
        <v>42</v>
      </c>
      <c r="E5" s="3" t="s">
        <v>16</v>
      </c>
      <c r="F5" s="4" t="s">
        <v>27</v>
      </c>
      <c r="G5" s="4" t="s">
        <v>18</v>
      </c>
      <c r="H5" s="5" t="s">
        <v>28</v>
      </c>
      <c r="I5" s="4" t="s">
        <v>29</v>
      </c>
      <c r="J5" s="4" t="s">
        <v>30</v>
      </c>
      <c r="K5" s="12" t="s">
        <v>14</v>
      </c>
      <c r="M5" s="25"/>
      <c r="N5" s="27">
        <v>3</v>
      </c>
      <c r="O5" s="30" t="s">
        <v>55</v>
      </c>
      <c r="P5" s="30" t="s">
        <v>16</v>
      </c>
      <c r="Q5" s="30" t="s">
        <v>56</v>
      </c>
      <c r="R5" s="30" t="s">
        <v>57</v>
      </c>
      <c r="S5" s="30" t="s">
        <v>58</v>
      </c>
      <c r="T5" s="30" t="s">
        <v>59</v>
      </c>
      <c r="U5" s="30" t="s">
        <v>59</v>
      </c>
      <c r="V5" s="29" t="s">
        <v>14</v>
      </c>
    </row>
    <row r="6" spans="2:22" ht="101.5" x14ac:dyDescent="0.35">
      <c r="B6" s="2">
        <f t="shared" si="0"/>
        <v>4</v>
      </c>
      <c r="C6" s="14"/>
      <c r="D6" s="18" t="s">
        <v>41</v>
      </c>
      <c r="E6" s="17" t="s">
        <v>16</v>
      </c>
      <c r="F6" s="16" t="s">
        <v>31</v>
      </c>
      <c r="G6" s="17" t="s">
        <v>18</v>
      </c>
      <c r="H6" s="24" t="s">
        <v>32</v>
      </c>
      <c r="I6" s="19" t="s">
        <v>33</v>
      </c>
      <c r="J6" s="20" t="s">
        <v>34</v>
      </c>
      <c r="K6" s="12" t="s">
        <v>14</v>
      </c>
      <c r="M6" s="25"/>
      <c r="N6" s="27">
        <v>4</v>
      </c>
      <c r="O6" s="30" t="s">
        <v>60</v>
      </c>
      <c r="P6" s="30" t="s">
        <v>16</v>
      </c>
      <c r="Q6" s="30" t="s">
        <v>61</v>
      </c>
      <c r="R6" s="30" t="s">
        <v>62</v>
      </c>
      <c r="S6" s="30" t="s">
        <v>63</v>
      </c>
      <c r="T6" s="30" t="s">
        <v>64</v>
      </c>
      <c r="U6" s="30" t="s">
        <v>64</v>
      </c>
      <c r="V6" s="29" t="s">
        <v>14</v>
      </c>
    </row>
    <row r="7" spans="2:22" ht="115" x14ac:dyDescent="0.35">
      <c r="B7" s="2">
        <f t="shared" si="0"/>
        <v>5</v>
      </c>
      <c r="C7" s="14"/>
      <c r="D7" s="17" t="s">
        <v>43</v>
      </c>
      <c r="E7" s="17" t="s">
        <v>16</v>
      </c>
      <c r="F7" s="21" t="s">
        <v>35</v>
      </c>
      <c r="G7" s="17" t="s">
        <v>18</v>
      </c>
      <c r="H7" s="24" t="s">
        <v>36</v>
      </c>
      <c r="I7" s="22" t="s">
        <v>37</v>
      </c>
      <c r="J7" s="20" t="s">
        <v>38</v>
      </c>
      <c r="K7" s="12" t="s">
        <v>14</v>
      </c>
      <c r="M7" s="25"/>
      <c r="N7" s="27">
        <v>5</v>
      </c>
      <c r="O7" s="30" t="s">
        <v>65</v>
      </c>
      <c r="P7" s="30" t="s">
        <v>13</v>
      </c>
      <c r="Q7" s="30" t="s">
        <v>66</v>
      </c>
      <c r="R7" s="30" t="s">
        <v>67</v>
      </c>
      <c r="S7" s="30" t="s">
        <v>68</v>
      </c>
      <c r="T7" s="30" t="s">
        <v>69</v>
      </c>
      <c r="U7" s="30" t="s">
        <v>69</v>
      </c>
      <c r="V7" s="29" t="s">
        <v>14</v>
      </c>
    </row>
    <row r="8" spans="2:22" ht="80.5" x14ac:dyDescent="0.35">
      <c r="M8" s="25"/>
      <c r="N8" s="27">
        <v>6</v>
      </c>
      <c r="O8" s="30" t="s">
        <v>70</v>
      </c>
      <c r="P8" s="30" t="s">
        <v>17</v>
      </c>
      <c r="Q8" s="30" t="s">
        <v>71</v>
      </c>
      <c r="R8" s="30" t="s">
        <v>72</v>
      </c>
      <c r="S8" s="30" t="s">
        <v>73</v>
      </c>
      <c r="T8" s="30" t="s">
        <v>74</v>
      </c>
      <c r="U8" s="30" t="s">
        <v>74</v>
      </c>
      <c r="V8" s="29" t="s">
        <v>14</v>
      </c>
    </row>
    <row r="9" spans="2:22" ht="80.5" x14ac:dyDescent="0.35">
      <c r="M9" s="25"/>
      <c r="N9" s="27">
        <v>7</v>
      </c>
      <c r="O9" s="30" t="s">
        <v>75</v>
      </c>
      <c r="P9" s="30" t="s">
        <v>13</v>
      </c>
      <c r="Q9" s="30" t="s">
        <v>76</v>
      </c>
      <c r="R9" s="30" t="s">
        <v>77</v>
      </c>
      <c r="S9" s="30" t="s">
        <v>78</v>
      </c>
      <c r="T9" s="30" t="s">
        <v>79</v>
      </c>
      <c r="U9" s="30" t="s">
        <v>79</v>
      </c>
      <c r="V9" s="29" t="s">
        <v>14</v>
      </c>
    </row>
    <row r="10" spans="2:22" ht="103.5" x14ac:dyDescent="0.35">
      <c r="M10" s="25"/>
      <c r="N10" s="27">
        <v>8</v>
      </c>
      <c r="O10" s="30" t="s">
        <v>80</v>
      </c>
      <c r="P10" s="30" t="s">
        <v>16</v>
      </c>
      <c r="Q10" s="30" t="s">
        <v>81</v>
      </c>
      <c r="R10" s="30" t="s">
        <v>82</v>
      </c>
      <c r="S10" s="30" t="s">
        <v>83</v>
      </c>
      <c r="T10" s="30" t="s">
        <v>84</v>
      </c>
      <c r="U10" s="30" t="s">
        <v>84</v>
      </c>
      <c r="V10" s="29" t="s">
        <v>14</v>
      </c>
    </row>
  </sheetData>
  <conditionalFormatting sqref="K3:K7">
    <cfRule type="cellIs" dxfId="1" priority="1" operator="equal">
      <formula>"Not Tested"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Enums!$B$8:$B$10</xm:f>
          </x14:formula1>
          <xm:sqref>E3:E5</xm:sqref>
        </x14:dataValidation>
        <x14:dataValidation type="list" allowBlank="1" showInputMessage="1" showErrorMessage="1" xr:uid="{00000000-0002-0000-0100-000001000000}">
          <x14:formula1>
            <xm:f>Enums!$B$2:$B$4</xm:f>
          </x14:formula1>
          <xm:sqref>K3:K7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"/>
  <sheetViews>
    <sheetView workbookViewId="0">
      <selection activeCell="B5" sqref="B5"/>
    </sheetView>
  </sheetViews>
  <sheetFormatPr defaultColWidth="11.453125" defaultRowHeight="14.5" x14ac:dyDescent="0.35"/>
  <sheetData>
    <row r="2" spans="2:2" x14ac:dyDescent="0.35">
      <c r="B2" t="s">
        <v>14</v>
      </c>
    </row>
    <row r="3" spans="2:2" x14ac:dyDescent="0.35">
      <c r="B3" t="s">
        <v>15</v>
      </c>
    </row>
    <row r="4" spans="2:2" x14ac:dyDescent="0.35">
      <c r="B4" t="s">
        <v>3</v>
      </c>
    </row>
    <row r="8" spans="2:2" x14ac:dyDescent="0.35">
      <c r="B8" t="s">
        <v>16</v>
      </c>
    </row>
    <row r="9" spans="2:2" x14ac:dyDescent="0.35">
      <c r="B9" t="s">
        <v>13</v>
      </c>
    </row>
    <row r="10" spans="2:2" x14ac:dyDescent="0.35">
      <c r="B10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B6385-31B2-4574-9AA4-BF13B563A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B513B-8BED-4B59-B224-E0A2C6173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DB72C7-DF0B-4E18-8174-00AB852E6FB4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2b02348f-b4e3-458c-83fc-9e90db0f802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Test Report</vt:lpstr>
      <vt:lpstr>Test Cases &amp; Results</vt:lpstr>
      <vt:lpstr>Enums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2025-08-19T02:42:47Z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</Properties>
</file>